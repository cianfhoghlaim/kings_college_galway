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C:\Users\foram\Desktop\Léacht úr\ÁBHAR BREISE DON CHEARDLANN\PDFanna\NA SÉ CHONTAE\"/>
    </mc:Choice>
  </mc:AlternateContent>
  <xr:revisionPtr revIDLastSave="0" documentId="8_{9593C981-1511-4967-AF82-42587AD74C25}" xr6:coauthVersionLast="45" xr6:coauthVersionMax="45" xr10:uidLastSave="{00000000-0000-0000-0000-000000000000}"/>
  <bookViews>
    <workbookView xWindow="-120" yWindow="-120" windowWidth="19440" windowHeight="15000" activeTab="1" xr2:uid="{00000000-000D-0000-FFFF-FFFF00000000}"/>
  </bookViews>
  <sheets>
    <sheet name="metadata" sheetId="1" r:id="rId1"/>
    <sheet name="pupil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1" i="2" l="1"/>
  <c r="T21" i="2" l="1"/>
  <c r="R11" i="2" l="1"/>
  <c r="H21" i="2" l="1"/>
  <c r="G21" i="2"/>
  <c r="F21" i="2"/>
  <c r="E21" i="2"/>
  <c r="D21" i="2"/>
  <c r="C21" i="2"/>
  <c r="R19" i="2"/>
  <c r="Q19" i="2"/>
  <c r="Q21" i="2" s="1"/>
  <c r="S15" i="2"/>
  <c r="Q15" i="2"/>
  <c r="R13" i="2"/>
  <c r="R15" i="2" s="1"/>
  <c r="S11" i="2"/>
  <c r="Q11" i="2"/>
  <c r="P11" i="2"/>
  <c r="P21" i="2" s="1"/>
  <c r="O11" i="2"/>
  <c r="O21" i="2" s="1"/>
  <c r="R21" i="2" l="1"/>
  <c r="S21" i="2"/>
</calcChain>
</file>

<file path=xl/sharedStrings.xml><?xml version="1.0" encoding="utf-8"?>
<sst xmlns="http://schemas.openxmlformats.org/spreadsheetml/2006/main" count="127" uniqueCount="88">
  <si>
    <t>Data are collected annually through the School census exercise.</t>
  </si>
  <si>
    <t>This takes place in early October when each school is required to submit a return detailing information about the numbers of pupils on their register.</t>
  </si>
  <si>
    <t>Among the information collected are details on: year group, gender, age, religion, ethnicity, Special Educational Needs and on newcomer pupils.</t>
  </si>
  <si>
    <t xml:space="preserve">Statistics produced from the school census exercise qualify as National Statistics. </t>
  </si>
  <si>
    <t>Schools fall under various management types:</t>
  </si>
  <si>
    <t xml:space="preserve">Controlled schools are managed by the Education Authority through Boards of Governors. </t>
  </si>
  <si>
    <t xml:space="preserve">Primary and secondary school Boards of Governors consist of representatives of transferors (mainly the Protestant Churches) along with representatives of parents, </t>
  </si>
  <si>
    <t>teachers and the Education Authority. Nursery, grammar and special school Boards of Governors consist of representatives of the latter 3 categories.</t>
  </si>
  <si>
    <t>Within the controlled sector there is a small but growing number of controlled integrated schools.</t>
  </si>
  <si>
    <r>
      <t>Voluntary (maintained)</t>
    </r>
    <r>
      <rPr>
        <sz val="10"/>
        <color rgb="FF000000"/>
        <rFont val="Arial"/>
        <family val="2"/>
      </rPr>
      <t xml:space="preserve"> schools are managed by Boards of Governors which consist of members nominated by trustees (mainly Roman Catholic), </t>
    </r>
  </si>
  <si>
    <t>along with representatives of parents, teachers and the Education Authority.</t>
  </si>
  <si>
    <t xml:space="preserve">Voluntary schools vary in the rates of capital grant to which they are entitled, depending on the management structures they have adopted. </t>
  </si>
  <si>
    <t>A majority are entitled to capital grants at 100%...</t>
  </si>
  <si>
    <r>
      <t>Voluntary: (Non-Maintained)</t>
    </r>
    <r>
      <rPr>
        <sz val="10"/>
        <color rgb="FF000000"/>
        <rFont val="Arial"/>
        <family val="2"/>
      </rPr>
      <t xml:space="preserve"> schools are mainly voluntary grammar schools, managed by Boards of Governors </t>
    </r>
  </si>
  <si>
    <t xml:space="preserve">which consist of persons appointed as provided in each school's scheme of management along with representatives of parents and teachers and, in most cases, </t>
  </si>
  <si>
    <t>members appointed by the Department or the Education Authority. Voluntary Grammar Schools are funded directly by the Department.</t>
  </si>
  <si>
    <r>
      <t xml:space="preserve">In recent years a number of </t>
    </r>
    <r>
      <rPr>
        <b/>
        <sz val="10"/>
        <color rgb="FF000000"/>
        <rFont val="Arial"/>
        <family val="2"/>
      </rPr>
      <t>grant-maintained integrated</t>
    </r>
    <r>
      <rPr>
        <sz val="10"/>
        <color rgb="FF000000"/>
        <rFont val="Arial"/>
        <family val="2"/>
      </rPr>
      <t xml:space="preserve"> schools have been established at primary level and post-primary levels. </t>
    </r>
  </si>
  <si>
    <t>Such schools are funded directly by the Department.</t>
  </si>
  <si>
    <t xml:space="preserve">The practical operation of all schools has increasingly become a matter for Boards of Governors. They are responsible </t>
  </si>
  <si>
    <t xml:space="preserve">for the delivery of the curriculum, admission of pupils, and in the case of schools with delegated budgets, for the management of their own financial affairs, </t>
  </si>
  <si>
    <t xml:space="preserve">including staffing matters. </t>
  </si>
  <si>
    <r>
      <t xml:space="preserve">Independent </t>
    </r>
    <r>
      <rPr>
        <sz val="10"/>
        <color rgb="FF000000"/>
        <rFont val="Arial"/>
        <family val="2"/>
      </rPr>
      <t>schools do not receive recurrent funding from the Dept Education.</t>
    </r>
  </si>
  <si>
    <r>
      <t>Irish medium units</t>
    </r>
    <r>
      <rPr>
        <sz val="10"/>
        <color rgb="FF000000"/>
        <rFont val="Arial"/>
        <family val="2"/>
      </rPr>
      <t xml:space="preserve"> are stand alone units incorporated into English medium schools.</t>
    </r>
  </si>
  <si>
    <t>Enquiries relating to information collected in the school census in Northern Ireland</t>
  </si>
  <si>
    <t>should be addressed to:</t>
  </si>
  <si>
    <t>Analytical Services Unit</t>
  </si>
  <si>
    <t>Department of Education,</t>
  </si>
  <si>
    <t xml:space="preserve">Rathgael House, </t>
  </si>
  <si>
    <t xml:space="preserve">Balloo Road, </t>
  </si>
  <si>
    <t>Rathgill,</t>
  </si>
  <si>
    <t>Bangor,</t>
  </si>
  <si>
    <t>Co. Down</t>
  </si>
  <si>
    <t>BT19 7PR.</t>
  </si>
  <si>
    <t xml:space="preserve">email: </t>
  </si>
  <si>
    <t>statistics@education-ni.gov.uk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</si>
  <si>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</si>
  <si>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</si>
  <si>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</si>
  <si>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</si>
  <si>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</si>
  <si>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</si>
  <si>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</si>
  <si>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</si>
  <si>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</si>
  <si>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</si>
  <si>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</si>
  <si>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</si>
  <si>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</si>
  <si>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</si>
  <si>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</si>
  <si>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</si>
  <si>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</si>
  <si>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Voluntary and private pre-schools - funded places</t>
  </si>
  <si>
    <t>Nursery Classes in Irish-medium Schools</t>
  </si>
  <si>
    <t>Full-time</t>
  </si>
  <si>
    <t xml:space="preserve">                        </t>
  </si>
  <si>
    <t>Part-time</t>
  </si>
  <si>
    <t>Nursery Classes in Irish-medium units</t>
  </si>
  <si>
    <t xml:space="preserve">                          </t>
  </si>
  <si>
    <t>Reception</t>
  </si>
  <si>
    <t>TOTAL</t>
  </si>
  <si>
    <t>PRIMARY</t>
  </si>
  <si>
    <t>Primary Schools (Year 1 - Year 7)</t>
  </si>
  <si>
    <t>schools</t>
  </si>
  <si>
    <t>units</t>
  </si>
  <si>
    <t>n.a.</t>
  </si>
  <si>
    <t>POST-PRIMARY (Year 8 - Year 14)</t>
  </si>
  <si>
    <t>Post-primary Schools</t>
  </si>
  <si>
    <t>INDEPENDENT</t>
  </si>
  <si>
    <t>-</t>
  </si>
  <si>
    <t>GRAND TOTAL</t>
  </si>
  <si>
    <t>n.a. = not available.</t>
  </si>
  <si>
    <t xml:space="preserve">Nursery Schools </t>
  </si>
  <si>
    <t>Schools</t>
  </si>
  <si>
    <t>Units</t>
  </si>
  <si>
    <t>Post-primary Schools and units:</t>
  </si>
  <si>
    <t>Special schools</t>
  </si>
  <si>
    <t>Independent schools</t>
  </si>
  <si>
    <t>Note:</t>
  </si>
  <si>
    <t>1. Some primary schools and units in other schools have nursery units as well as Year 1 - 7 classes.</t>
  </si>
  <si>
    <t>2018/19</t>
  </si>
  <si>
    <t>Pupils in Irish-medium education 2001/02 - 2019/20</t>
  </si>
  <si>
    <t>2019/20</t>
  </si>
  <si>
    <t>Telephone: 028 9127 9638</t>
  </si>
  <si>
    <t>This file was last updated on 10 March 2020.</t>
  </si>
  <si>
    <t>Irish medium schools and units 2001/12 - 2019/20</t>
  </si>
  <si>
    <r>
      <t>Primary Schools and units</t>
    </r>
    <r>
      <rPr>
        <b/>
        <vertAlign val="superscript"/>
        <sz val="10"/>
        <color rgb="FF3F42CD"/>
        <rFont val="Times New Roman"/>
        <family val="1"/>
      </rPr>
      <t>1</t>
    </r>
    <r>
      <rPr>
        <b/>
        <sz val="10"/>
        <color rgb="FF3F42CD"/>
        <rFont val="Times New Roman"/>
        <family val="1"/>
      </rPr>
      <t>:</t>
    </r>
  </si>
  <si>
    <t>Voluntary and Private Pre-School Education Centres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</si>
</sst>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 &quot;#,##0&quot; &quot;;&quot; (&quot;#,##0&quot;)&quot;;&quot; - &quot;;&quot; &quot;@&quot; &quot;"/>
    <numFmt numFmtId="165" formatCode="#,##0&quot; &quot;;&quot;-&quot;#,##0&quot; &quot;"/>
    <numFmt numFmtId="166" formatCode="&quot; &quot;#,##0.00&quot; &quot;;&quot; (&quot;#,##0.00&quot;)&quot;;&quot; -&quot;00&quot; &quot;;&quot; &quot;@&quot; &quot;"/>
    <numFmt numFmtId="167" formatCode="&quot; &quot;#,##0.00&quot; &quot;;&quot;-&quot;#,##0.00&quot; &quot;;&quot; -&quot;00&quot; &quot;;&quot; &quot;@&quot; &quot;"/>
  </numFmts>
  <fonts count="18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4"/>
      <color rgb="FF4F81BD"/>
      <name val="Arial"/>
      <family val="2"/>
    </font>
    <font>
      <sz val="11"/>
      <color rgb="FF4F81BD"/>
      <name val="Calibri"/>
      <family val="2"/>
    </font>
    <font>
      <b/>
      <sz val="10"/>
      <color rgb="FF4F81BD"/>
      <name val="Arial"/>
      <family val="2"/>
    </font>
    <font>
      <sz val="10"/>
      <color rgb="FF4F81BD"/>
      <name val="Arial"/>
      <family val="2"/>
    </font>
    <font>
      <b/>
      <i/>
      <u/>
      <sz val="10"/>
      <color rgb="FF4F81BD"/>
      <name val="Arial"/>
      <family val="2"/>
    </font>
    <font>
      <i/>
      <u/>
      <sz val="10"/>
      <color rgb="FF4F81BD"/>
      <name val="Arial"/>
      <family val="2"/>
    </font>
    <font>
      <b/>
      <sz val="11"/>
      <color rgb="FF3F42CD"/>
      <name val="Arial"/>
      <family val="2"/>
    </font>
    <font>
      <sz val="11"/>
      <color rgb="FF3F42CD"/>
      <name val="Calibri"/>
      <family val="2"/>
    </font>
    <font>
      <b/>
      <sz val="11"/>
      <color rgb="FF3F42CD"/>
      <name val="Calibri"/>
      <family val="2"/>
    </font>
    <font>
      <b/>
      <sz val="10"/>
      <color rgb="FF3F42CD"/>
      <name val="Times New Roman"/>
      <family val="1"/>
    </font>
    <font>
      <b/>
      <vertAlign val="superscript"/>
      <sz val="10"/>
      <color rgb="FF3F42CD"/>
      <name val="Times New Roman"/>
      <family val="1"/>
    </font>
    <font>
      <sz val="1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5D9F1"/>
        <bgColor rgb="FFC5D9F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C5D9F1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5">
    <xf numFmtId="0" fontId="0" fillId="0" borderId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Border="0" applyProtection="0"/>
  </cellStyleXfs>
  <cellXfs count="39">
    <xf numFmtId="0" fontId="0" fillId="0" borderId="0" xfId="0"/>
    <xf numFmtId="0" fontId="3" fillId="0" borderId="0" xfId="0" applyFont="1"/>
    <xf numFmtId="0" fontId="4" fillId="0" borderId="0" xfId="0" applyFont="1"/>
    <xf numFmtId="49" fontId="5" fillId="2" borderId="0" xfId="0" applyNumberFormat="1" applyFont="1" applyFill="1"/>
    <xf numFmtId="0" fontId="6" fillId="2" borderId="0" xfId="0" applyFont="1" applyFill="1"/>
    <xf numFmtId="0" fontId="6" fillId="0" borderId="0" xfId="0" applyFont="1"/>
    <xf numFmtId="164" fontId="6" fillId="0" borderId="0" xfId="0" applyNumberFormat="1" applyFont="1"/>
    <xf numFmtId="49" fontId="8" fillId="0" borderId="0" xfId="0" applyNumberFormat="1" applyFont="1" applyFill="1" applyAlignment="1">
      <alignment vertical="center"/>
    </xf>
    <xf numFmtId="0" fontId="11" fillId="2" borderId="0" xfId="0" applyFont="1" applyFill="1"/>
    <xf numFmtId="0" fontId="12" fillId="2" borderId="0" xfId="0" applyFont="1" applyFill="1"/>
    <xf numFmtId="0" fontId="12" fillId="0" borderId="0" xfId="0" applyFont="1" applyFill="1"/>
    <xf numFmtId="0" fontId="12" fillId="3" borderId="1" xfId="0" applyFont="1" applyFill="1" applyBorder="1"/>
    <xf numFmtId="0" fontId="14" fillId="2" borderId="1" xfId="0" applyFont="1" applyFill="1" applyBorder="1"/>
    <xf numFmtId="0" fontId="12" fillId="2" borderId="1" xfId="0" applyFont="1" applyFill="1" applyBorder="1"/>
    <xf numFmtId="0" fontId="13" fillId="2" borderId="1" xfId="0" applyFont="1" applyFill="1" applyBorder="1"/>
    <xf numFmtId="0" fontId="12" fillId="2" borderId="1" xfId="0" applyFont="1" applyFill="1" applyBorder="1" applyAlignment="1">
      <alignment horizontal="right"/>
    </xf>
    <xf numFmtId="0" fontId="12" fillId="0" borderId="0" xfId="0" applyFont="1"/>
    <xf numFmtId="0" fontId="8" fillId="0" borderId="0" xfId="0" applyFont="1" applyBorder="1" applyAlignment="1">
      <alignment horizontal="right"/>
    </xf>
    <xf numFmtId="49" fontId="7" fillId="0" borderId="0" xfId="0" applyNumberFormat="1" applyFont="1" applyBorder="1" applyAlignment="1">
      <alignment vertical="center"/>
    </xf>
    <xf numFmtId="164" fontId="8" fillId="0" borderId="0" xfId="0" applyNumberFormat="1" applyFont="1" applyBorder="1" applyAlignment="1">
      <alignment horizontal="right" vertical="center"/>
    </xf>
    <xf numFmtId="164" fontId="8" fillId="0" borderId="0" xfId="1" applyNumberFormat="1" applyFont="1" applyBorder="1" applyAlignment="1">
      <alignment horizontal="right" vertical="center"/>
    </xf>
    <xf numFmtId="165" fontId="8" fillId="0" borderId="0" xfId="1" applyNumberFormat="1" applyFont="1" applyBorder="1" applyAlignment="1">
      <alignment horizontal="right" vertical="center"/>
    </xf>
    <xf numFmtId="49" fontId="9" fillId="0" borderId="0" xfId="0" applyNumberFormat="1" applyFont="1" applyBorder="1" applyAlignment="1">
      <alignment vertical="center"/>
    </xf>
    <xf numFmtId="164" fontId="10" fillId="0" borderId="0" xfId="0" applyNumberFormat="1" applyFont="1" applyBorder="1" applyAlignment="1">
      <alignment horizontal="right" vertical="center"/>
    </xf>
    <xf numFmtId="0" fontId="6" fillId="0" borderId="0" xfId="0" applyFont="1" applyBorder="1"/>
    <xf numFmtId="3" fontId="6" fillId="0" borderId="0" xfId="0" applyNumberFormat="1" applyFont="1" applyBorder="1"/>
    <xf numFmtId="49" fontId="7" fillId="2" borderId="0" xfId="0" applyNumberFormat="1" applyFont="1" applyFill="1" applyBorder="1" applyAlignment="1">
      <alignment horizontal="center" wrapText="1"/>
    </xf>
    <xf numFmtId="164" fontId="8" fillId="0" borderId="0" xfId="0" applyNumberFormat="1" applyFont="1" applyBorder="1" applyAlignment="1">
      <alignment horizontal="right" wrapText="1"/>
    </xf>
    <xf numFmtId="164" fontId="8" fillId="0" borderId="0" xfId="0" applyNumberFormat="1" applyFont="1" applyBorder="1" applyAlignment="1">
      <alignment horizontal="right"/>
    </xf>
    <xf numFmtId="0" fontId="6" fillId="2" borderId="0" xfId="0" applyFont="1" applyFill="1" applyBorder="1"/>
    <xf numFmtId="0" fontId="12" fillId="5" borderId="1" xfId="0" applyFont="1" applyFill="1" applyBorder="1"/>
    <xf numFmtId="0" fontId="13" fillId="5" borderId="1" xfId="0" applyFont="1" applyFill="1" applyBorder="1" applyAlignment="1">
      <alignment horizontal="right"/>
    </xf>
    <xf numFmtId="0" fontId="16" fillId="0" borderId="0" xfId="0" applyFont="1"/>
    <xf numFmtId="0" fontId="2" fillId="0" borderId="0" xfId="3" applyAlignment="1" applyProtection="1"/>
    <xf numFmtId="0" fontId="17" fillId="0" borderId="0" xfId="0" applyFont="1"/>
    <xf numFmtId="0" fontId="12" fillId="0" borderId="2" xfId="0" applyFont="1" applyFill="1" applyBorder="1"/>
    <xf numFmtId="0" fontId="13" fillId="4" borderId="3" xfId="0" applyFont="1" applyFill="1" applyBorder="1"/>
    <xf numFmtId="49" fontId="7" fillId="2" borderId="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Fill="1" applyBorder="1" applyAlignment="1">
      <alignment horizontal="left" wrapText="1"/>
    </xf>
  </cellXfs>
  <cellStyles count="5">
    <cellStyle name="Camóg" xfId="1" builtinId="3" customBuiltin="1"/>
    <cellStyle name="Comma 2" xfId="2" xr:uid="{00000000-0005-0000-0000-000001000000}"/>
    <cellStyle name="Hyperlink" xfId="3" xr:uid="{00000000-0005-0000-0000-000002000000}"/>
    <cellStyle name="Normal" xfId="0" builtinId="0" customBuiltin="1"/>
    <cellStyle name="Normal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tatistics@education-ni.gov.u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workbookViewId="0">
      <selection activeCell="O22" sqref="O22"/>
    </sheetView>
  </sheetViews>
  <sheetFormatPr defaultRowHeight="12.75" x14ac:dyDescent="0.2"/>
  <cols>
    <col min="1" max="1" width="9.140625" style="1" customWidth="1"/>
    <col min="2" max="16384" width="9.140625" style="1"/>
  </cols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6" spans="1:1" ht="6.75" customHeight="1" x14ac:dyDescent="0.2"/>
    <row r="7" spans="1:1" x14ac:dyDescent="0.2">
      <c r="A7" s="1" t="s">
        <v>4</v>
      </c>
    </row>
    <row r="8" spans="1:1" x14ac:dyDescent="0.2">
      <c r="A8" s="2" t="s">
        <v>5</v>
      </c>
    </row>
    <row r="9" spans="1:1" x14ac:dyDescent="0.2">
      <c r="A9" s="1" t="s">
        <v>6</v>
      </c>
    </row>
    <row r="10" spans="1:1" x14ac:dyDescent="0.2">
      <c r="A10" s="1" t="s">
        <v>7</v>
      </c>
    </row>
    <row r="11" spans="1:1" x14ac:dyDescent="0.2">
      <c r="A11" s="1" t="s">
        <v>8</v>
      </c>
    </row>
    <row r="12" spans="1:1" x14ac:dyDescent="0.2">
      <c r="A12" s="2" t="s">
        <v>9</v>
      </c>
    </row>
    <row r="13" spans="1:1" x14ac:dyDescent="0.2">
      <c r="A13" s="1" t="s">
        <v>10</v>
      </c>
    </row>
    <row r="14" spans="1:1" x14ac:dyDescent="0.2">
      <c r="A14" s="1" t="s">
        <v>11</v>
      </c>
    </row>
    <row r="15" spans="1:1" x14ac:dyDescent="0.2">
      <c r="A15" s="1" t="s">
        <v>12</v>
      </c>
    </row>
    <row r="16" spans="1:1" x14ac:dyDescent="0.2">
      <c r="A16" s="2" t="s">
        <v>13</v>
      </c>
    </row>
    <row r="17" spans="1:1" x14ac:dyDescent="0.2">
      <c r="A17" s="1" t="s">
        <v>14</v>
      </c>
    </row>
    <row r="18" spans="1:1" x14ac:dyDescent="0.2">
      <c r="A18" s="1" t="s">
        <v>15</v>
      </c>
    </row>
    <row r="19" spans="1:1" x14ac:dyDescent="0.2">
      <c r="A19" s="1" t="s">
        <v>16</v>
      </c>
    </row>
    <row r="20" spans="1:1" x14ac:dyDescent="0.2">
      <c r="A20" s="1" t="s">
        <v>17</v>
      </c>
    </row>
    <row r="21" spans="1:1" x14ac:dyDescent="0.2">
      <c r="A21" s="1" t="s">
        <v>18</v>
      </c>
    </row>
    <row r="22" spans="1:1" x14ac:dyDescent="0.2">
      <c r="A22" s="1" t="s">
        <v>19</v>
      </c>
    </row>
    <row r="23" spans="1:1" x14ac:dyDescent="0.2">
      <c r="A23" s="1" t="s">
        <v>20</v>
      </c>
    </row>
    <row r="24" spans="1:1" x14ac:dyDescent="0.2">
      <c r="A24" s="2" t="s">
        <v>21</v>
      </c>
    </row>
    <row r="25" spans="1:1" x14ac:dyDescent="0.2">
      <c r="A25" s="2"/>
    </row>
    <row r="26" spans="1:1" x14ac:dyDescent="0.2">
      <c r="A26" s="2" t="s">
        <v>22</v>
      </c>
    </row>
    <row r="27" spans="1:1" x14ac:dyDescent="0.2">
      <c r="A27" s="2"/>
    </row>
    <row r="28" spans="1:1" x14ac:dyDescent="0.2">
      <c r="A28" s="1" t="s">
        <v>23</v>
      </c>
    </row>
    <row r="29" spans="1:1" x14ac:dyDescent="0.2">
      <c r="A29" s="1" t="s">
        <v>24</v>
      </c>
    </row>
    <row r="30" spans="1:1" ht="10.5" customHeight="1" x14ac:dyDescent="0.2"/>
    <row r="31" spans="1:1" x14ac:dyDescent="0.2">
      <c r="A31" s="1" t="s">
        <v>25</v>
      </c>
    </row>
    <row r="32" spans="1:1" x14ac:dyDescent="0.2">
      <c r="A32" s="1" t="s">
        <v>26</v>
      </c>
    </row>
    <row r="33" spans="1:5" x14ac:dyDescent="0.2">
      <c r="A33" s="1" t="s">
        <v>27</v>
      </c>
    </row>
    <row r="34" spans="1:5" x14ac:dyDescent="0.2">
      <c r="A34" s="1" t="s">
        <v>28</v>
      </c>
    </row>
    <row r="35" spans="1:5" x14ac:dyDescent="0.2">
      <c r="A35" s="1" t="s">
        <v>29</v>
      </c>
    </row>
    <row r="36" spans="1:5" x14ac:dyDescent="0.2">
      <c r="A36" s="1" t="s">
        <v>30</v>
      </c>
    </row>
    <row r="37" spans="1:5" x14ac:dyDescent="0.2">
      <c r="A37" s="1" t="s">
        <v>31</v>
      </c>
    </row>
    <row r="38" spans="1:5" x14ac:dyDescent="0.2">
      <c r="A38" s="1" t="s">
        <v>32</v>
      </c>
    </row>
    <row r="40" spans="1:5" x14ac:dyDescent="0.2">
      <c r="A40" s="32" t="s">
        <v>83</v>
      </c>
      <c r="B40" s="32"/>
      <c r="C40" s="32"/>
      <c r="D40" s="32"/>
      <c r="E40" s="32"/>
    </row>
    <row r="41" spans="1:5" x14ac:dyDescent="0.2">
      <c r="A41" s="32"/>
      <c r="B41" s="32"/>
      <c r="C41" s="32"/>
      <c r="D41" s="32"/>
      <c r="E41" s="32"/>
    </row>
    <row r="42" spans="1:5" x14ac:dyDescent="0.2">
      <c r="A42" s="32" t="s">
        <v>33</v>
      </c>
      <c r="B42" s="33" t="s">
        <v>34</v>
      </c>
      <c r="C42" s="32"/>
      <c r="D42" s="32"/>
      <c r="E42" s="32"/>
    </row>
    <row r="43" spans="1:5" x14ac:dyDescent="0.2">
      <c r="A43" s="32"/>
      <c r="B43" s="32"/>
      <c r="C43" s="32"/>
      <c r="D43" s="32"/>
      <c r="E43" s="32"/>
    </row>
    <row r="44" spans="1:5" x14ac:dyDescent="0.2">
      <c r="A44" s="34" t="s">
        <v>84</v>
      </c>
      <c r="B44" s="32"/>
      <c r="C44" s="32"/>
      <c r="D44" s="32"/>
      <c r="E44" s="32"/>
    </row>
  </sheetData>
  <hyperlinks>
    <hyperlink ref="B42" r:id="rId1" xr:uid="{00000000-0004-0000-0000-000000000000}"/>
  </hyperlinks>
  <pageMargins left="0.70000000000000007" right="0.70000000000000007" top="0.75" bottom="0.75" header="0.30000000000000004" footer="0.3000000000000000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3"/>
  <sheetViews>
    <sheetView tabSelected="1" zoomScale="90" zoomScaleNormal="90" workbookViewId="0">
      <pane xSplit="2" ySplit="4" topLeftCell="H5" activePane="bottomRight" state="frozen"/>
      <selection pane="topRight" activeCell="C1" sqref="C1"/>
      <selection pane="bottomLeft" activeCell="A5" sqref="A5"/>
      <selection pane="bottomRight" activeCell="A22" sqref="A22"/>
    </sheetView>
  </sheetViews>
  <sheetFormatPr defaultColWidth="8.85546875" defaultRowHeight="15" x14ac:dyDescent="0.25"/>
  <cols>
    <col min="1" max="1" width="45.28515625" style="5" customWidth="1"/>
    <col min="2" max="2" width="20.140625" style="5" customWidth="1"/>
    <col min="3" max="3" width="10" style="24" customWidth="1"/>
    <col min="4" max="4" width="8.85546875" style="5" customWidth="1"/>
    <col min="5" max="5" width="9.42578125" style="5" customWidth="1"/>
    <col min="6" max="6" width="9.28515625" style="5" customWidth="1"/>
    <col min="7" max="7" width="8.28515625" style="5" bestFit="1" customWidth="1"/>
    <col min="8" max="8" width="9.28515625" style="5" customWidth="1"/>
    <col min="9" max="9" width="8.7109375" style="5" customWidth="1"/>
    <col min="10" max="10" width="9.5703125" style="5" customWidth="1"/>
    <col min="11" max="11" width="8.7109375" style="5" customWidth="1"/>
    <col min="12" max="12" width="9.140625" style="5" customWidth="1"/>
    <col min="13" max="13" width="8.85546875" style="5" customWidth="1"/>
    <col min="14" max="19" width="9.28515625" style="5" customWidth="1"/>
    <col min="20" max="20" width="9.42578125" style="5" customWidth="1"/>
    <col min="21" max="21" width="8.85546875" style="5" customWidth="1"/>
    <col min="22" max="16384" width="8.85546875" style="5"/>
  </cols>
  <sheetData>
    <row r="1" spans="1:21" ht="18" x14ac:dyDescent="0.25">
      <c r="A1" s="3" t="s">
        <v>81</v>
      </c>
      <c r="B1" s="4"/>
      <c r="C1" s="29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3" spans="1:21" ht="13.9" customHeight="1" x14ac:dyDescent="0.25">
      <c r="A3" s="26"/>
      <c r="B3" s="26"/>
      <c r="C3" s="37" t="s">
        <v>35</v>
      </c>
      <c r="D3" s="37" t="s">
        <v>36</v>
      </c>
      <c r="E3" s="37" t="s">
        <v>37</v>
      </c>
      <c r="F3" s="37" t="s">
        <v>38</v>
      </c>
      <c r="G3" s="37" t="s">
        <v>39</v>
      </c>
      <c r="H3" s="37" t="s">
        <v>40</v>
      </c>
      <c r="I3" s="37" t="s">
        <v>41</v>
      </c>
      <c r="J3" s="37" t="s">
        <v>42</v>
      </c>
      <c r="K3" s="37" t="s">
        <v>43</v>
      </c>
      <c r="L3" s="37" t="s">
        <v>44</v>
      </c>
      <c r="M3" s="37" t="s">
        <v>45</v>
      </c>
      <c r="N3" s="37" t="s">
        <v>46</v>
      </c>
      <c r="O3" s="37" t="s">
        <v>47</v>
      </c>
      <c r="P3" s="37" t="s">
        <v>48</v>
      </c>
      <c r="Q3" s="37" t="s">
        <v>49</v>
      </c>
      <c r="R3" s="37" t="s">
        <v>50</v>
      </c>
      <c r="S3" s="37" t="s">
        <v>51</v>
      </c>
      <c r="T3" s="37" t="s">
        <v>80</v>
      </c>
      <c r="U3" s="37" t="s">
        <v>82</v>
      </c>
    </row>
    <row r="4" spans="1:21" x14ac:dyDescent="0.25">
      <c r="A4" s="26"/>
      <c r="B4" s="26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</row>
    <row r="5" spans="1:21" ht="14.45" customHeight="1" x14ac:dyDescent="0.25">
      <c r="A5" s="38" t="s">
        <v>52</v>
      </c>
      <c r="B5" s="38"/>
      <c r="C5" s="27">
        <v>400</v>
      </c>
      <c r="D5" s="27">
        <v>338</v>
      </c>
      <c r="E5" s="27">
        <v>334</v>
      </c>
      <c r="F5" s="27">
        <v>397</v>
      </c>
      <c r="G5" s="27">
        <v>407</v>
      </c>
      <c r="H5" s="27">
        <v>448</v>
      </c>
      <c r="I5" s="28">
        <v>466</v>
      </c>
      <c r="J5" s="28">
        <v>436</v>
      </c>
      <c r="K5" s="28">
        <v>435</v>
      </c>
      <c r="L5" s="28">
        <v>434</v>
      </c>
      <c r="M5" s="28">
        <v>473</v>
      </c>
      <c r="N5" s="28">
        <v>468</v>
      </c>
      <c r="O5" s="28">
        <v>476</v>
      </c>
      <c r="P5" s="28">
        <v>488</v>
      </c>
      <c r="Q5" s="28">
        <v>481</v>
      </c>
      <c r="R5" s="28">
        <v>485</v>
      </c>
      <c r="S5" s="28">
        <v>473</v>
      </c>
      <c r="T5" s="17">
        <v>470</v>
      </c>
      <c r="U5" s="24">
        <v>480</v>
      </c>
    </row>
    <row r="6" spans="1:21" ht="18" customHeight="1" x14ac:dyDescent="0.25">
      <c r="A6" s="18" t="s">
        <v>53</v>
      </c>
      <c r="B6" s="18" t="s">
        <v>54</v>
      </c>
      <c r="C6" s="19">
        <v>0</v>
      </c>
      <c r="D6" s="19">
        <v>26</v>
      </c>
      <c r="E6" s="19">
        <v>50</v>
      </c>
      <c r="F6" s="19">
        <v>52</v>
      </c>
      <c r="G6" s="19">
        <v>52</v>
      </c>
      <c r="H6" s="19">
        <v>52</v>
      </c>
      <c r="I6" s="20">
        <v>52</v>
      </c>
      <c r="J6" s="20">
        <v>73</v>
      </c>
      <c r="K6" s="20">
        <v>104</v>
      </c>
      <c r="L6" s="20">
        <v>235</v>
      </c>
      <c r="M6" s="20">
        <v>258</v>
      </c>
      <c r="N6" s="20">
        <v>309</v>
      </c>
      <c r="O6" s="20">
        <v>312</v>
      </c>
      <c r="P6" s="20">
        <v>315</v>
      </c>
      <c r="Q6" s="20">
        <v>354</v>
      </c>
      <c r="R6" s="20">
        <v>318</v>
      </c>
      <c r="S6" s="20">
        <v>319</v>
      </c>
      <c r="T6" s="20">
        <v>366</v>
      </c>
      <c r="U6" s="24">
        <v>323</v>
      </c>
    </row>
    <row r="7" spans="1:21" ht="15" customHeight="1" x14ac:dyDescent="0.25">
      <c r="A7" s="18" t="s">
        <v>55</v>
      </c>
      <c r="B7" s="18" t="s">
        <v>56</v>
      </c>
      <c r="C7" s="19">
        <v>0</v>
      </c>
      <c r="D7" s="19">
        <v>43</v>
      </c>
      <c r="E7" s="19">
        <v>48</v>
      </c>
      <c r="F7" s="19">
        <v>43</v>
      </c>
      <c r="G7" s="19">
        <v>43</v>
      </c>
      <c r="H7" s="19">
        <v>35</v>
      </c>
      <c r="I7" s="20">
        <v>41</v>
      </c>
      <c r="J7" s="20">
        <v>49</v>
      </c>
      <c r="K7" s="20">
        <v>52</v>
      </c>
      <c r="L7" s="20">
        <v>23</v>
      </c>
      <c r="M7" s="20">
        <v>0</v>
      </c>
      <c r="N7" s="20">
        <v>0</v>
      </c>
      <c r="O7" s="20">
        <v>0</v>
      </c>
      <c r="P7" s="20">
        <v>52</v>
      </c>
      <c r="Q7" s="20">
        <v>26</v>
      </c>
      <c r="R7" s="20">
        <v>76</v>
      </c>
      <c r="S7" s="20">
        <v>105</v>
      </c>
      <c r="T7" s="20">
        <v>103</v>
      </c>
      <c r="U7" s="24">
        <v>150</v>
      </c>
    </row>
    <row r="8" spans="1:21" x14ac:dyDescent="0.25">
      <c r="A8" s="18" t="s">
        <v>57</v>
      </c>
      <c r="B8" s="18" t="s">
        <v>54</v>
      </c>
      <c r="C8" s="19">
        <v>0</v>
      </c>
      <c r="D8" s="19">
        <v>0</v>
      </c>
      <c r="E8" s="19">
        <v>0</v>
      </c>
      <c r="F8" s="19">
        <v>0</v>
      </c>
      <c r="G8" s="19">
        <v>0</v>
      </c>
      <c r="H8" s="19">
        <v>0</v>
      </c>
      <c r="I8" s="20">
        <v>0</v>
      </c>
      <c r="J8" s="20">
        <v>0</v>
      </c>
      <c r="K8" s="20">
        <v>26</v>
      </c>
      <c r="L8" s="20">
        <v>26</v>
      </c>
      <c r="M8" s="20">
        <v>26</v>
      </c>
      <c r="N8" s="20">
        <v>26</v>
      </c>
      <c r="O8" s="20">
        <v>26</v>
      </c>
      <c r="P8" s="20">
        <v>30</v>
      </c>
      <c r="Q8" s="20">
        <v>30</v>
      </c>
      <c r="R8" s="20">
        <v>30</v>
      </c>
      <c r="S8" s="20">
        <v>26</v>
      </c>
      <c r="T8" s="20">
        <v>26</v>
      </c>
      <c r="U8" s="24">
        <v>30</v>
      </c>
    </row>
    <row r="9" spans="1:21" x14ac:dyDescent="0.25">
      <c r="A9" s="18" t="s">
        <v>58</v>
      </c>
      <c r="B9" s="18" t="s">
        <v>56</v>
      </c>
      <c r="C9" s="19">
        <v>0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1" t="s">
        <v>69</v>
      </c>
      <c r="U9" s="21" t="s">
        <v>69</v>
      </c>
    </row>
    <row r="10" spans="1:21" ht="16.899999999999999" customHeight="1" x14ac:dyDescent="0.25">
      <c r="A10" s="18" t="s">
        <v>59</v>
      </c>
      <c r="B10" s="18"/>
      <c r="C10" s="19">
        <v>0</v>
      </c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20">
        <v>0</v>
      </c>
      <c r="J10" s="20">
        <v>0</v>
      </c>
      <c r="K10" s="20">
        <v>5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1" t="s">
        <v>69</v>
      </c>
      <c r="U10" s="21" t="s">
        <v>69</v>
      </c>
    </row>
    <row r="11" spans="1:21" ht="17.45" customHeight="1" x14ac:dyDescent="0.25">
      <c r="A11" s="18" t="s">
        <v>60</v>
      </c>
      <c r="B11" s="18"/>
      <c r="C11" s="19">
        <v>400</v>
      </c>
      <c r="D11" s="19">
        <v>407</v>
      </c>
      <c r="E11" s="19">
        <v>432</v>
      </c>
      <c r="F11" s="19">
        <v>492</v>
      </c>
      <c r="G11" s="19">
        <v>502</v>
      </c>
      <c r="H11" s="19">
        <v>535</v>
      </c>
      <c r="I11" s="20">
        <v>559</v>
      </c>
      <c r="J11" s="20">
        <v>558</v>
      </c>
      <c r="K11" s="20">
        <v>622</v>
      </c>
      <c r="L11" s="20">
        <v>718</v>
      </c>
      <c r="M11" s="20">
        <v>757</v>
      </c>
      <c r="N11" s="20">
        <v>803</v>
      </c>
      <c r="O11" s="20">
        <f>+SUM(O5:O10)</f>
        <v>814</v>
      </c>
      <c r="P11" s="20">
        <f>+SUM(P5:P10)</f>
        <v>885</v>
      </c>
      <c r="Q11" s="20">
        <f>+SUM(Q5:Q10)</f>
        <v>891</v>
      </c>
      <c r="R11" s="20">
        <f>+SUM(R5:R10)</f>
        <v>909</v>
      </c>
      <c r="S11" s="20">
        <f>+SUM(S5:S10)</f>
        <v>923</v>
      </c>
      <c r="T11" s="21">
        <v>965</v>
      </c>
      <c r="U11" s="24">
        <v>983</v>
      </c>
    </row>
    <row r="12" spans="1:21" x14ac:dyDescent="0.25">
      <c r="A12" s="22" t="s">
        <v>61</v>
      </c>
      <c r="B12" s="22"/>
      <c r="C12" s="23"/>
      <c r="D12" s="23"/>
      <c r="E12" s="23"/>
      <c r="F12" s="23"/>
      <c r="G12" s="23"/>
      <c r="H12" s="23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1"/>
      <c r="U12" s="24"/>
    </row>
    <row r="13" spans="1:21" x14ac:dyDescent="0.25">
      <c r="A13" s="18" t="s">
        <v>62</v>
      </c>
      <c r="B13" s="18" t="s">
        <v>63</v>
      </c>
      <c r="C13" s="19">
        <v>652</v>
      </c>
      <c r="D13" s="19">
        <v>1539</v>
      </c>
      <c r="E13" s="19">
        <v>1665</v>
      </c>
      <c r="F13" s="19">
        <v>1793</v>
      </c>
      <c r="G13" s="19">
        <v>1849</v>
      </c>
      <c r="H13" s="19">
        <v>1954</v>
      </c>
      <c r="I13" s="20">
        <v>2039</v>
      </c>
      <c r="J13" s="20">
        <v>2095</v>
      </c>
      <c r="K13" s="20">
        <v>2097</v>
      </c>
      <c r="L13" s="20">
        <v>2137</v>
      </c>
      <c r="M13" s="20">
        <v>2191</v>
      </c>
      <c r="N13" s="20">
        <v>2411</v>
      </c>
      <c r="O13" s="20">
        <v>2570</v>
      </c>
      <c r="P13" s="20">
        <v>2738</v>
      </c>
      <c r="Q13" s="20">
        <v>2906</v>
      </c>
      <c r="R13" s="20">
        <f>3497-318-76</f>
        <v>3103</v>
      </c>
      <c r="S13" s="20">
        <v>3324</v>
      </c>
      <c r="T13" s="20">
        <v>3473</v>
      </c>
      <c r="U13" s="25">
        <v>3565</v>
      </c>
    </row>
    <row r="14" spans="1:21" x14ac:dyDescent="0.25">
      <c r="A14" s="18"/>
      <c r="B14" s="18" t="s">
        <v>64</v>
      </c>
      <c r="C14" s="19" t="s">
        <v>65</v>
      </c>
      <c r="D14" s="19">
        <v>317</v>
      </c>
      <c r="E14" s="19">
        <v>401</v>
      </c>
      <c r="F14" s="19">
        <v>431</v>
      </c>
      <c r="G14" s="19">
        <v>478</v>
      </c>
      <c r="H14" s="19">
        <v>553</v>
      </c>
      <c r="I14" s="20">
        <v>614</v>
      </c>
      <c r="J14" s="20">
        <v>634</v>
      </c>
      <c r="K14" s="20">
        <v>650</v>
      </c>
      <c r="L14" s="20">
        <v>670</v>
      </c>
      <c r="M14" s="20">
        <v>682</v>
      </c>
      <c r="N14" s="20">
        <v>644</v>
      </c>
      <c r="O14" s="20">
        <v>686</v>
      </c>
      <c r="P14" s="20">
        <v>720</v>
      </c>
      <c r="Q14" s="20">
        <v>764</v>
      </c>
      <c r="R14" s="20">
        <v>802</v>
      </c>
      <c r="S14" s="20">
        <v>832</v>
      </c>
      <c r="T14" s="20">
        <v>878</v>
      </c>
      <c r="U14" s="24">
        <v>945</v>
      </c>
    </row>
    <row r="15" spans="1:21" x14ac:dyDescent="0.25">
      <c r="A15" s="18" t="s">
        <v>60</v>
      </c>
      <c r="B15" s="18"/>
      <c r="C15" s="19">
        <v>652</v>
      </c>
      <c r="D15" s="19">
        <v>1856</v>
      </c>
      <c r="E15" s="19">
        <v>2066</v>
      </c>
      <c r="F15" s="19">
        <v>2224</v>
      </c>
      <c r="G15" s="19">
        <v>2327</v>
      </c>
      <c r="H15" s="19">
        <v>2507</v>
      </c>
      <c r="I15" s="20">
        <v>2653</v>
      </c>
      <c r="J15" s="20">
        <v>2729</v>
      </c>
      <c r="K15" s="20">
        <v>2747</v>
      </c>
      <c r="L15" s="20">
        <v>2807</v>
      </c>
      <c r="M15" s="20">
        <v>2873</v>
      </c>
      <c r="N15" s="20">
        <v>3055</v>
      </c>
      <c r="O15" s="20">
        <v>3256</v>
      </c>
      <c r="P15" s="20">
        <v>3458</v>
      </c>
      <c r="Q15" s="20">
        <f>+Q13+Q14</f>
        <v>3670</v>
      </c>
      <c r="R15" s="20">
        <f>+R13+R14</f>
        <v>3905</v>
      </c>
      <c r="S15" s="20">
        <f>+S13+S14</f>
        <v>4156</v>
      </c>
      <c r="T15" s="20">
        <v>4351</v>
      </c>
      <c r="U15" s="25">
        <v>4510</v>
      </c>
    </row>
    <row r="16" spans="1:21" x14ac:dyDescent="0.25">
      <c r="A16" s="22" t="s">
        <v>66</v>
      </c>
      <c r="B16" s="22"/>
      <c r="C16" s="23"/>
      <c r="D16" s="23"/>
      <c r="E16" s="23"/>
      <c r="F16" s="23"/>
      <c r="G16" s="23"/>
      <c r="H16" s="23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4"/>
    </row>
    <row r="17" spans="1:21" x14ac:dyDescent="0.25">
      <c r="A17" s="18" t="s">
        <v>67</v>
      </c>
      <c r="B17" s="18" t="s">
        <v>63</v>
      </c>
      <c r="C17" s="19">
        <v>342</v>
      </c>
      <c r="D17" s="19">
        <v>364</v>
      </c>
      <c r="E17" s="19">
        <v>406</v>
      </c>
      <c r="F17" s="19">
        <v>442</v>
      </c>
      <c r="G17" s="19">
        <v>470</v>
      </c>
      <c r="H17" s="19">
        <v>489</v>
      </c>
      <c r="I17" s="20">
        <v>506</v>
      </c>
      <c r="J17" s="20">
        <v>513</v>
      </c>
      <c r="K17" s="20">
        <v>561</v>
      </c>
      <c r="L17" s="20">
        <v>553</v>
      </c>
      <c r="M17" s="20">
        <v>550</v>
      </c>
      <c r="N17" s="20">
        <v>541</v>
      </c>
      <c r="O17" s="20">
        <v>564</v>
      </c>
      <c r="P17" s="20">
        <v>581</v>
      </c>
      <c r="Q17" s="20">
        <v>620</v>
      </c>
      <c r="R17" s="20">
        <v>694</v>
      </c>
      <c r="S17" s="20">
        <v>734</v>
      </c>
      <c r="T17" s="20">
        <v>799</v>
      </c>
      <c r="U17" s="24">
        <v>895</v>
      </c>
    </row>
    <row r="18" spans="1:21" x14ac:dyDescent="0.25">
      <c r="A18" s="18"/>
      <c r="B18" s="18" t="s">
        <v>64</v>
      </c>
      <c r="C18" s="19" t="s">
        <v>65</v>
      </c>
      <c r="D18" s="19">
        <v>61</v>
      </c>
      <c r="E18" s="19">
        <v>74</v>
      </c>
      <c r="F18" s="19">
        <v>79</v>
      </c>
      <c r="G18" s="19">
        <v>100</v>
      </c>
      <c r="H18" s="19">
        <v>122</v>
      </c>
      <c r="I18" s="20">
        <v>126</v>
      </c>
      <c r="J18" s="20">
        <v>132</v>
      </c>
      <c r="K18" s="20">
        <v>145</v>
      </c>
      <c r="L18" s="20">
        <v>159</v>
      </c>
      <c r="M18" s="20">
        <v>212</v>
      </c>
      <c r="N18" s="20">
        <v>228</v>
      </c>
      <c r="O18" s="20">
        <v>267</v>
      </c>
      <c r="P18" s="20">
        <v>332</v>
      </c>
      <c r="Q18" s="20">
        <v>344</v>
      </c>
      <c r="R18" s="20">
        <v>355</v>
      </c>
      <c r="S18" s="20">
        <v>371</v>
      </c>
      <c r="T18" s="20">
        <v>404</v>
      </c>
      <c r="U18" s="24">
        <v>428</v>
      </c>
    </row>
    <row r="19" spans="1:21" x14ac:dyDescent="0.25">
      <c r="A19" s="18" t="s">
        <v>60</v>
      </c>
      <c r="B19" s="18"/>
      <c r="C19" s="19">
        <v>342</v>
      </c>
      <c r="D19" s="19">
        <v>425</v>
      </c>
      <c r="E19" s="19">
        <v>480</v>
      </c>
      <c r="F19" s="19">
        <v>521</v>
      </c>
      <c r="G19" s="19">
        <v>570</v>
      </c>
      <c r="H19" s="19">
        <v>611</v>
      </c>
      <c r="I19" s="20">
        <v>632</v>
      </c>
      <c r="J19" s="20">
        <v>645</v>
      </c>
      <c r="K19" s="20">
        <v>706</v>
      </c>
      <c r="L19" s="20">
        <v>712</v>
      </c>
      <c r="M19" s="20">
        <v>762</v>
      </c>
      <c r="N19" s="20">
        <v>769</v>
      </c>
      <c r="O19" s="20">
        <v>831</v>
      </c>
      <c r="P19" s="20">
        <v>913</v>
      </c>
      <c r="Q19" s="20">
        <f>+Q17+Q18</f>
        <v>964</v>
      </c>
      <c r="R19" s="20">
        <f>+R17+R18</f>
        <v>1049</v>
      </c>
      <c r="S19" s="20">
        <v>1105</v>
      </c>
      <c r="T19" s="20">
        <v>1203</v>
      </c>
      <c r="U19" s="25">
        <v>1323</v>
      </c>
    </row>
    <row r="20" spans="1:21" x14ac:dyDescent="0.25">
      <c r="A20" s="22" t="s">
        <v>68</v>
      </c>
      <c r="B20" s="22"/>
      <c r="C20" s="19">
        <v>208</v>
      </c>
      <c r="D20" s="19">
        <v>116</v>
      </c>
      <c r="E20" s="19">
        <v>54</v>
      </c>
      <c r="F20" s="19">
        <v>54</v>
      </c>
      <c r="G20" s="19">
        <v>29</v>
      </c>
      <c r="H20" s="19">
        <v>49</v>
      </c>
      <c r="I20" s="20">
        <v>31</v>
      </c>
      <c r="J20" s="20">
        <v>9</v>
      </c>
      <c r="K20" s="20">
        <v>0</v>
      </c>
      <c r="L20" s="20">
        <v>11</v>
      </c>
      <c r="M20" s="20">
        <v>7</v>
      </c>
      <c r="N20" s="20">
        <v>6</v>
      </c>
      <c r="O20" s="20">
        <v>15</v>
      </c>
      <c r="P20" s="20" t="s">
        <v>69</v>
      </c>
      <c r="Q20" s="20" t="s">
        <v>69</v>
      </c>
      <c r="R20" s="20" t="s">
        <v>69</v>
      </c>
      <c r="S20" s="20" t="s">
        <v>69</v>
      </c>
      <c r="T20" s="20" t="s">
        <v>69</v>
      </c>
      <c r="U20" s="20" t="s">
        <v>69</v>
      </c>
    </row>
    <row r="21" spans="1:21" x14ac:dyDescent="0.25">
      <c r="A21" s="18" t="s">
        <v>70</v>
      </c>
      <c r="B21" s="18"/>
      <c r="C21" s="19">
        <f t="shared" ref="C21:H21" si="0">C20+C19+C15+C11</f>
        <v>1602</v>
      </c>
      <c r="D21" s="19">
        <f t="shared" si="0"/>
        <v>2804</v>
      </c>
      <c r="E21" s="19">
        <f t="shared" si="0"/>
        <v>3032</v>
      </c>
      <c r="F21" s="19">
        <f t="shared" si="0"/>
        <v>3291</v>
      </c>
      <c r="G21" s="19">
        <f t="shared" si="0"/>
        <v>3428</v>
      </c>
      <c r="H21" s="19">
        <f t="shared" si="0"/>
        <v>3702</v>
      </c>
      <c r="I21" s="20">
        <v>3875</v>
      </c>
      <c r="J21" s="20">
        <v>3941</v>
      </c>
      <c r="K21" s="20">
        <v>4075</v>
      </c>
      <c r="L21" s="20">
        <v>4248</v>
      </c>
      <c r="M21" s="20">
        <v>4399</v>
      </c>
      <c r="N21" s="20">
        <v>4633</v>
      </c>
      <c r="O21" s="20">
        <f>+O20+O19+O15+O11</f>
        <v>4916</v>
      </c>
      <c r="P21" s="20">
        <f t="shared" ref="P21:U21" si="1">+P19+P15+P11</f>
        <v>5256</v>
      </c>
      <c r="Q21" s="20">
        <f t="shared" si="1"/>
        <v>5525</v>
      </c>
      <c r="R21" s="20">
        <f t="shared" si="1"/>
        <v>5863</v>
      </c>
      <c r="S21" s="20">
        <f t="shared" si="1"/>
        <v>6184</v>
      </c>
      <c r="T21" s="20">
        <f t="shared" si="1"/>
        <v>6519</v>
      </c>
      <c r="U21" s="20">
        <f t="shared" si="1"/>
        <v>6816</v>
      </c>
    </row>
    <row r="22" spans="1:21" x14ac:dyDescent="0.25">
      <c r="R22" s="6"/>
      <c r="S22" s="6"/>
    </row>
    <row r="23" spans="1:21" x14ac:dyDescent="0.25">
      <c r="A23" s="7" t="s">
        <v>71</v>
      </c>
    </row>
  </sheetData>
  <mergeCells count="20">
    <mergeCell ref="O3:O4"/>
    <mergeCell ref="M3:M4"/>
    <mergeCell ref="N3:N4"/>
    <mergeCell ref="C3:C4"/>
    <mergeCell ref="D3:D4"/>
    <mergeCell ref="E3:E4"/>
    <mergeCell ref="F3:F4"/>
    <mergeCell ref="G3:G4"/>
    <mergeCell ref="H3:H4"/>
    <mergeCell ref="A5:B5"/>
    <mergeCell ref="I3:I4"/>
    <mergeCell ref="J3:J4"/>
    <mergeCell ref="K3:K4"/>
    <mergeCell ref="L3:L4"/>
    <mergeCell ref="P3:P4"/>
    <mergeCell ref="Q3:Q4"/>
    <mergeCell ref="R3:R4"/>
    <mergeCell ref="S3:S4"/>
    <mergeCell ref="U3:U4"/>
    <mergeCell ref="T3:T4"/>
  </mergeCell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2"/>
  <sheetViews>
    <sheetView workbookViewId="0">
      <pane xSplit="1" ySplit="3" topLeftCell="G4" activePane="bottomRight" state="frozen"/>
      <selection pane="topRight" activeCell="B1" sqref="B1"/>
      <selection pane="bottomLeft" activeCell="A4" sqref="A4"/>
      <selection pane="bottomRight" activeCell="A22" sqref="A22"/>
    </sheetView>
  </sheetViews>
  <sheetFormatPr defaultColWidth="8.85546875" defaultRowHeight="15" x14ac:dyDescent="0.25"/>
  <cols>
    <col min="1" max="1" width="50" style="16" customWidth="1"/>
    <col min="2" max="2" width="8.85546875" style="16" customWidth="1"/>
    <col min="3" max="16384" width="8.85546875" style="16"/>
  </cols>
  <sheetData>
    <row r="1" spans="1:20" s="10" customFormat="1" ht="19.899999999999999" customHeight="1" x14ac:dyDescent="0.25">
      <c r="A1" s="8" t="s">
        <v>85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20" s="10" customFormat="1" x14ac:dyDescent="0.25">
      <c r="T2" s="35"/>
    </row>
    <row r="3" spans="1:20" s="10" customFormat="1" x14ac:dyDescent="0.25">
      <c r="A3" s="30"/>
      <c r="B3" s="31" t="s">
        <v>35</v>
      </c>
      <c r="C3" s="31" t="s">
        <v>36</v>
      </c>
      <c r="D3" s="31" t="s">
        <v>37</v>
      </c>
      <c r="E3" s="31" t="s">
        <v>38</v>
      </c>
      <c r="F3" s="31" t="s">
        <v>39</v>
      </c>
      <c r="G3" s="31" t="s">
        <v>40</v>
      </c>
      <c r="H3" s="31" t="s">
        <v>41</v>
      </c>
      <c r="I3" s="31" t="s">
        <v>42</v>
      </c>
      <c r="J3" s="31" t="s">
        <v>43</v>
      </c>
      <c r="K3" s="31" t="s">
        <v>44</v>
      </c>
      <c r="L3" s="31" t="s">
        <v>45</v>
      </c>
      <c r="M3" s="31" t="s">
        <v>46</v>
      </c>
      <c r="N3" s="31" t="s">
        <v>47</v>
      </c>
      <c r="O3" s="31" t="s">
        <v>48</v>
      </c>
      <c r="P3" s="31" t="s">
        <v>49</v>
      </c>
      <c r="Q3" s="31" t="s">
        <v>50</v>
      </c>
      <c r="R3" s="31" t="s">
        <v>51</v>
      </c>
      <c r="S3" s="31" t="s">
        <v>80</v>
      </c>
      <c r="T3" s="36" t="s">
        <v>82</v>
      </c>
    </row>
    <row r="4" spans="1:20" s="10" customFormat="1" x14ac:dyDescent="0.25">
      <c r="A4" s="12" t="s">
        <v>87</v>
      </c>
      <c r="B4" s="13">
        <v>25</v>
      </c>
      <c r="C4" s="13">
        <v>25</v>
      </c>
      <c r="D4" s="13">
        <v>27</v>
      </c>
      <c r="E4" s="13">
        <v>29</v>
      </c>
      <c r="F4" s="13">
        <v>31</v>
      </c>
      <c r="G4" s="13">
        <v>34</v>
      </c>
      <c r="H4" s="13">
        <v>33</v>
      </c>
      <c r="I4" s="13">
        <v>30</v>
      </c>
      <c r="J4" s="13">
        <v>35</v>
      </c>
      <c r="K4" s="13">
        <v>31</v>
      </c>
      <c r="L4" s="13">
        <v>31</v>
      </c>
      <c r="M4" s="13">
        <v>28</v>
      </c>
      <c r="N4" s="13">
        <v>29</v>
      </c>
      <c r="O4" s="13">
        <v>29</v>
      </c>
      <c r="P4" s="13">
        <v>29</v>
      </c>
      <c r="Q4" s="13">
        <v>29</v>
      </c>
      <c r="R4" s="13">
        <v>27</v>
      </c>
      <c r="S4" s="13">
        <v>28</v>
      </c>
      <c r="T4" s="13">
        <v>29</v>
      </c>
    </row>
    <row r="5" spans="1:20" s="10" customForma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</row>
    <row r="6" spans="1:20" s="10" customFormat="1" x14ac:dyDescent="0.25">
      <c r="A6" s="12" t="s">
        <v>72</v>
      </c>
      <c r="B6" s="13">
        <v>0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</row>
    <row r="7" spans="1:20" s="10" customFormat="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 spans="1:20" s="10" customFormat="1" ht="16.5" x14ac:dyDescent="0.25">
      <c r="A8" s="12" t="s">
        <v>86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</row>
    <row r="9" spans="1:20" s="10" customFormat="1" x14ac:dyDescent="0.25">
      <c r="A9" s="14" t="s">
        <v>73</v>
      </c>
      <c r="B9" s="13">
        <v>10</v>
      </c>
      <c r="C9" s="13">
        <v>12</v>
      </c>
      <c r="D9" s="13">
        <v>10</v>
      </c>
      <c r="E9" s="13">
        <v>17</v>
      </c>
      <c r="F9" s="13">
        <v>18</v>
      </c>
      <c r="G9" s="13">
        <v>20</v>
      </c>
      <c r="H9" s="13">
        <v>22</v>
      </c>
      <c r="I9" s="13">
        <v>22</v>
      </c>
      <c r="J9" s="13">
        <v>22</v>
      </c>
      <c r="K9" s="13">
        <v>23</v>
      </c>
      <c r="L9" s="13">
        <v>25</v>
      </c>
      <c r="M9" s="13">
        <v>28</v>
      </c>
      <c r="N9" s="13">
        <v>28</v>
      </c>
      <c r="O9" s="13">
        <v>28</v>
      </c>
      <c r="P9" s="13">
        <v>28</v>
      </c>
      <c r="Q9" s="13">
        <v>28</v>
      </c>
      <c r="R9" s="13">
        <v>28</v>
      </c>
      <c r="S9" s="13">
        <v>28</v>
      </c>
      <c r="T9" s="13">
        <v>28</v>
      </c>
    </row>
    <row r="10" spans="1:20" s="10" customFormat="1" x14ac:dyDescent="0.25">
      <c r="A10" s="12" t="s">
        <v>74</v>
      </c>
      <c r="B10" s="15" t="s">
        <v>65</v>
      </c>
      <c r="C10" s="13">
        <v>7</v>
      </c>
      <c r="D10" s="13">
        <v>10</v>
      </c>
      <c r="E10" s="13">
        <v>10</v>
      </c>
      <c r="F10" s="13">
        <v>10</v>
      </c>
      <c r="G10" s="13">
        <v>10</v>
      </c>
      <c r="H10" s="13">
        <v>9</v>
      </c>
      <c r="I10" s="13">
        <v>9</v>
      </c>
      <c r="J10" s="13">
        <v>9</v>
      </c>
      <c r="K10" s="13">
        <v>9</v>
      </c>
      <c r="L10" s="13">
        <v>9</v>
      </c>
      <c r="M10" s="13">
        <v>7</v>
      </c>
      <c r="N10" s="13">
        <v>7</v>
      </c>
      <c r="O10" s="13">
        <v>7</v>
      </c>
      <c r="P10" s="13">
        <v>7</v>
      </c>
      <c r="Q10" s="13">
        <v>7</v>
      </c>
      <c r="R10" s="13">
        <v>7</v>
      </c>
      <c r="S10" s="13">
        <v>7</v>
      </c>
      <c r="T10" s="13">
        <v>7</v>
      </c>
    </row>
    <row r="11" spans="1:20" s="10" customFormat="1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 spans="1:20" s="10" customFormat="1" x14ac:dyDescent="0.25">
      <c r="A12" s="12" t="s">
        <v>75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spans="1:20" s="10" customFormat="1" x14ac:dyDescent="0.25">
      <c r="A13" s="14" t="s">
        <v>73</v>
      </c>
      <c r="B13" s="13">
        <v>1</v>
      </c>
      <c r="C13" s="13">
        <v>1</v>
      </c>
      <c r="D13" s="13">
        <v>1</v>
      </c>
      <c r="E13" s="13">
        <v>1</v>
      </c>
      <c r="F13" s="13">
        <v>1</v>
      </c>
      <c r="G13" s="13">
        <v>1</v>
      </c>
      <c r="H13" s="13">
        <v>1</v>
      </c>
      <c r="I13" s="13">
        <v>1</v>
      </c>
      <c r="J13" s="13">
        <v>1</v>
      </c>
      <c r="K13" s="13">
        <v>1</v>
      </c>
      <c r="L13" s="13">
        <v>1</v>
      </c>
      <c r="M13" s="13">
        <v>1</v>
      </c>
      <c r="N13" s="13">
        <v>1</v>
      </c>
      <c r="O13" s="13">
        <v>1</v>
      </c>
      <c r="P13" s="13">
        <v>2</v>
      </c>
      <c r="Q13" s="13">
        <v>2</v>
      </c>
      <c r="R13" s="13">
        <v>2</v>
      </c>
      <c r="S13" s="13">
        <v>2</v>
      </c>
      <c r="T13" s="13">
        <v>2</v>
      </c>
    </row>
    <row r="14" spans="1:20" s="10" customFormat="1" x14ac:dyDescent="0.25">
      <c r="A14" s="12" t="s">
        <v>74</v>
      </c>
      <c r="B14" s="15" t="s">
        <v>65</v>
      </c>
      <c r="C14" s="13">
        <v>2</v>
      </c>
      <c r="D14" s="13">
        <v>2</v>
      </c>
      <c r="E14" s="13">
        <v>2</v>
      </c>
      <c r="F14" s="13">
        <v>2</v>
      </c>
      <c r="G14" s="13">
        <v>2</v>
      </c>
      <c r="H14" s="13">
        <v>2</v>
      </c>
      <c r="I14" s="13">
        <v>2</v>
      </c>
      <c r="J14" s="13">
        <v>2</v>
      </c>
      <c r="K14" s="13">
        <v>2</v>
      </c>
      <c r="L14" s="13">
        <v>4</v>
      </c>
      <c r="M14" s="13">
        <v>3</v>
      </c>
      <c r="N14" s="13">
        <v>3</v>
      </c>
      <c r="O14" s="13">
        <v>4</v>
      </c>
      <c r="P14" s="13">
        <v>3</v>
      </c>
      <c r="Q14" s="13">
        <v>3</v>
      </c>
      <c r="R14" s="13">
        <v>3</v>
      </c>
      <c r="S14" s="13">
        <v>3</v>
      </c>
      <c r="T14" s="13">
        <v>3</v>
      </c>
    </row>
    <row r="15" spans="1:20" s="10" customFormat="1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 spans="1:20" s="10" customFormat="1" x14ac:dyDescent="0.25">
      <c r="A16" s="14" t="s">
        <v>76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</row>
    <row r="17" spans="1:20" s="10" customFormat="1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</row>
    <row r="18" spans="1:20" s="10" customFormat="1" x14ac:dyDescent="0.25">
      <c r="A18" s="14" t="s">
        <v>77</v>
      </c>
      <c r="B18" s="13">
        <v>10</v>
      </c>
      <c r="C18" s="13">
        <v>7</v>
      </c>
      <c r="D18" s="13">
        <v>4</v>
      </c>
      <c r="E18" s="13">
        <v>4</v>
      </c>
      <c r="F18" s="13">
        <v>3</v>
      </c>
      <c r="G18" s="13">
        <v>2</v>
      </c>
      <c r="H18" s="13">
        <v>2</v>
      </c>
      <c r="I18" s="13">
        <v>1</v>
      </c>
      <c r="J18" s="13">
        <v>0</v>
      </c>
      <c r="K18" s="13">
        <v>2</v>
      </c>
      <c r="L18" s="13">
        <v>1</v>
      </c>
      <c r="M18" s="13">
        <v>1</v>
      </c>
      <c r="N18" s="13">
        <v>1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</row>
    <row r="19" spans="1:20" s="10" customFormat="1" x14ac:dyDescent="0.25"/>
    <row r="20" spans="1:20" s="10" customFormat="1" x14ac:dyDescent="0.25">
      <c r="A20" s="10" t="s">
        <v>78</v>
      </c>
    </row>
    <row r="21" spans="1:20" s="10" customFormat="1" x14ac:dyDescent="0.25">
      <c r="A21" s="10" t="s">
        <v>79</v>
      </c>
    </row>
    <row r="22" spans="1:20" s="10" customFormat="1" x14ac:dyDescent="0.25"/>
  </sheetData>
  <pageMargins left="0.70000000000000007" right="0.70000000000000007" top="0.75" bottom="0.75" header="0.30000000000000004" footer="0.30000000000000004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Bileoga oibre</vt:lpstr>
      </vt:variant>
      <vt:variant>
        <vt:i4>3</vt:i4>
      </vt:variant>
    </vt:vector>
  </HeadingPairs>
  <TitlesOfParts>
    <vt:vector size="3" baseType="lpstr">
      <vt:lpstr>metadata</vt:lpstr>
      <vt:lpstr>pupils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Ivor Graham</dc:creator>
  <cp:lastModifiedBy>Conchúr Mac Giolla Eáin</cp:lastModifiedBy>
  <dcterms:created xsi:type="dcterms:W3CDTF">2013-02-19T16:15:15Z</dcterms:created>
  <dcterms:modified xsi:type="dcterms:W3CDTF">2020-12-01T08:05:28Z</dcterms:modified>
</cp:coreProperties>
</file>